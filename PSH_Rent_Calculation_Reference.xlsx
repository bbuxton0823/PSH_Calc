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cgov-my.sharepoint.com/personal/cmontano_smcgov_org/Documents/Desktop/RentCALC/"/>
    </mc:Choice>
  </mc:AlternateContent>
  <xr:revisionPtr revIDLastSave="53" documentId="13_ncr:1_{1D75B8BC-9309-4DAE-B5B0-C3CF87260200}" xr6:coauthVersionLast="47" xr6:coauthVersionMax="47" xr10:uidLastSave="{154B488D-8568-4CD6-B542-4FDB12D444F8}"/>
  <bookViews>
    <workbookView xWindow="12420" yWindow="3405" windowWidth="14835" windowHeight="11295" xr2:uid="{D7C93F0E-A994-40D7-A991-7C06B23E7B9C}"/>
  </bookViews>
  <sheets>
    <sheet name="PSH" sheetId="1" r:id="rId1"/>
    <sheet name="VPS" sheetId="2" state="hidden" r:id="rId2"/>
  </sheets>
  <definedNames>
    <definedName name="_xlnm.Print_Area" localSheetId="0">PSH!$A$1:$E$30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23" i="1"/>
  <c r="C10" i="1"/>
  <c r="C9" i="1" l="1"/>
  <c r="C8" i="1"/>
  <c r="C17" i="1"/>
  <c r="C11" i="1" l="1"/>
  <c r="C13" i="1"/>
  <c r="C16" i="1" s="1"/>
  <c r="C15" i="1" l="1"/>
  <c r="C19" i="1" l="1"/>
  <c r="C24" i="1" s="1"/>
  <c r="D25" i="1" s="1"/>
  <c r="C25" i="1" s="1"/>
</calcChain>
</file>

<file path=xl/sharedStrings.xml><?xml version="1.0" encoding="utf-8"?>
<sst xmlns="http://schemas.openxmlformats.org/spreadsheetml/2006/main" count="33" uniqueCount="32">
  <si>
    <t>DATE:</t>
  </si>
  <si>
    <t>SUPERVISOR:</t>
  </si>
  <si>
    <t>HA STAFF:</t>
  </si>
  <si>
    <t>MIXED FAMILY RENT</t>
  </si>
  <si>
    <t>PRORATED HAP</t>
  </si>
  <si>
    <t>PRORATE %</t>
  </si>
  <si>
    <t>TOTAL FAMILY MEMBERS</t>
  </si>
  <si>
    <t>NUMBER INELIGIBLE</t>
  </si>
  <si>
    <t>NUMBER ELIGIBLE</t>
  </si>
  <si>
    <t>NORMAL HAP</t>
  </si>
  <si>
    <t>PRORATED ASSISTANCE</t>
  </si>
  <si>
    <t>UTILITY REIMBURSEMENT</t>
  </si>
  <si>
    <t>TENANT RENT</t>
  </si>
  <si>
    <t>HAP TO OWNER</t>
  </si>
  <si>
    <t>TOTAL FAMILY SHARE</t>
  </si>
  <si>
    <t>TOTAL HAP</t>
  </si>
  <si>
    <t>TTP ($50 MINIMUM)</t>
  </si>
  <si>
    <t>AMOUNT ABOVE FMR</t>
  </si>
  <si>
    <t>LOWER OF FMR OR GR</t>
  </si>
  <si>
    <t>GROSS RENT</t>
  </si>
  <si>
    <t>UTILITY ALLOWANCE</t>
  </si>
  <si>
    <t>RENT TO OWNER</t>
  </si>
  <si>
    <t># BR Leased</t>
  </si>
  <si>
    <t>Head of Household:</t>
  </si>
  <si>
    <t xml:space="preserve">PSH RENT CALCULATION </t>
  </si>
  <si>
    <t>Payment Standard</t>
  </si>
  <si>
    <t>FMR</t>
  </si>
  <si>
    <t>Red - See Supervisor</t>
  </si>
  <si>
    <t>2025 FMR</t>
  </si>
  <si>
    <t>Cmontano</t>
  </si>
  <si>
    <t>Bianca Aguilar</t>
  </si>
  <si>
    <t>Voucher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</si>
</sst>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1" fontId="3" fillId="3" borderId="2" xfId="0" applyNumberFormat="1" applyFont="1" applyFill="1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1" fontId="0" fillId="0" borderId="0" xfId="1" applyNumberFormat="1" applyFont="1" applyBorder="1"/>
    <xf numFmtId="0" fontId="0" fillId="0" borderId="7" xfId="0" applyBorder="1"/>
    <xf numFmtId="2" fontId="0" fillId="0" borderId="0" xfId="1" applyNumberFormat="1" applyFont="1" applyFill="1" applyBorder="1"/>
    <xf numFmtId="0" fontId="0" fillId="2" borderId="2" xfId="0" applyFill="1" applyBorder="1" applyProtection="1">
      <protection locked="0"/>
    </xf>
    <xf numFmtId="1" fontId="2" fillId="0" borderId="0" xfId="0" applyNumberFormat="1" applyFont="1"/>
    <xf numFmtId="0" fontId="2" fillId="0" borderId="0" xfId="0" applyFont="1"/>
    <xf numFmtId="0" fontId="2" fillId="4" borderId="8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4" fillId="5" borderId="0" xfId="0" applyFont="1" applyFill="1"/>
    <xf numFmtId="0" fontId="0" fillId="0" borderId="0" xfId="0" applyAlignment="1">
      <alignment horizontal="left" vertical="top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5" fillId="0" borderId="0" xfId="0" applyFont="1" applyAlignment="1">
      <alignment horizontal="left"/>
    </xf>
    <xf numFmtId="164" fontId="0" fillId="0" borderId="0" xfId="0" applyNumberFormat="1"/>
    <xf numFmtId="1" fontId="6" fillId="0" borderId="4" xfId="0" applyNumberFormat="1" applyFont="1" applyBorder="1"/>
    <xf numFmtId="14" fontId="0" fillId="2" borderId="2" xfId="0" applyNumberFormat="1" applyFill="1" applyBorder="1"/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1">
    <dxf>
      <font>
        <b/>
        <i val="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46B0-77DB-4BEB-9627-C6F4AB7D9A7C}">
  <sheetPr>
    <pageSetUpPr fitToPage="1"/>
  </sheetPr>
  <dimension ref="A1:E29"/>
  <sheetViews>
    <sheetView tabSelected="1" topLeftCell="A11" workbookViewId="0">
      <selection activeCell="F29" sqref="F29"/>
    </sheetView>
  </sheetViews>
  <sheetFormatPr defaultRowHeight="15" x14ac:dyDescent="0.25"/>
  <cols>
    <col min="2" max="2" width="23.85546875" customWidth="1"/>
    <col min="3" max="3" width="26.85546875" customWidth="1"/>
    <col min="4" max="4" width="20.42578125" bestFit="1" customWidth="1"/>
    <col min="5" max="5" width="10.7109375" bestFit="1" customWidth="1"/>
  </cols>
  <sheetData>
    <row r="1" spans="1:5" ht="27" thickBot="1" x14ac:dyDescent="0.45">
      <c r="B1" s="23" t="s">
        <v>24</v>
      </c>
    </row>
    <row r="2" spans="1:5" ht="15.75" thickBot="1" x14ac:dyDescent="0.3">
      <c r="A2" s="22"/>
      <c r="B2" s="21"/>
      <c r="C2" s="21"/>
      <c r="D2" s="21"/>
      <c r="E2" s="20"/>
    </row>
    <row r="3" spans="1:5" ht="15.75" thickBot="1" x14ac:dyDescent="0.3">
      <c r="A3" s="10"/>
      <c r="B3" t="s">
        <v>23</v>
      </c>
      <c r="C3" s="2" t="s">
        <v>30</v>
      </c>
      <c r="D3" t="s">
        <v>31</v>
      </c>
      <c r="E3" s="2">
        <v>3</v>
      </c>
    </row>
    <row r="4" spans="1:5" ht="15.75" thickBot="1" x14ac:dyDescent="0.3">
      <c r="A4" s="10"/>
      <c r="D4" t="s">
        <v>22</v>
      </c>
      <c r="E4" s="2">
        <v>4</v>
      </c>
    </row>
    <row r="5" spans="1:5" ht="15.75" thickBot="1" x14ac:dyDescent="0.3">
      <c r="A5" s="7"/>
      <c r="B5" s="4"/>
      <c r="C5" s="4"/>
      <c r="D5" s="4"/>
      <c r="E5" s="3"/>
    </row>
    <row r="6" spans="1:5" ht="15.75" thickBot="1" x14ac:dyDescent="0.3">
      <c r="A6" s="22">
        <v>1</v>
      </c>
      <c r="B6" s="21" t="s">
        <v>21</v>
      </c>
      <c r="C6" s="2">
        <v>4700</v>
      </c>
      <c r="D6" s="21"/>
      <c r="E6" s="20"/>
    </row>
    <row r="7" spans="1:5" ht="15.75" thickBot="1" x14ac:dyDescent="0.3">
      <c r="A7" s="10">
        <v>2</v>
      </c>
      <c r="B7" t="s">
        <v>20</v>
      </c>
      <c r="C7" s="2">
        <v>469</v>
      </c>
      <c r="E7" s="8"/>
    </row>
    <row r="8" spans="1:5" x14ac:dyDescent="0.25">
      <c r="A8" s="10">
        <v>3</v>
      </c>
      <c r="B8" t="s">
        <v>19</v>
      </c>
      <c r="C8">
        <f>(C6+C7)</f>
        <v>5169</v>
      </c>
      <c r="E8" s="8"/>
    </row>
    <row r="9" spans="1:5" x14ac:dyDescent="0.25">
      <c r="A9" s="10">
        <v>4</v>
      </c>
      <c r="B9" t="s">
        <v>28</v>
      </c>
      <c r="C9">
        <f>LOOKUP((MIN(E3,E4)),VPS!C2:D7)</f>
        <v>4604</v>
      </c>
      <c r="E9" s="8"/>
    </row>
    <row r="10" spans="1:5" x14ac:dyDescent="0.25">
      <c r="A10" s="10">
        <v>5</v>
      </c>
      <c r="B10" t="s">
        <v>18</v>
      </c>
      <c r="C10">
        <f>LOOKUP((MIN(E3,E4)),VPS!C2:C7,VPS!D2:D7)</f>
        <v>4604</v>
      </c>
      <c r="E10" s="8"/>
    </row>
    <row r="11" spans="1:5" ht="15.75" thickBot="1" x14ac:dyDescent="0.3">
      <c r="A11" s="10">
        <v>6</v>
      </c>
      <c r="B11" t="s">
        <v>17</v>
      </c>
      <c r="C11">
        <f>MAX(0,C8-C9)</f>
        <v>565</v>
      </c>
      <c r="D11" s="27" t="s">
        <v>27</v>
      </c>
      <c r="E11" s="28"/>
    </row>
    <row r="12" spans="1:5" ht="15.75" thickBot="1" x14ac:dyDescent="0.3">
      <c r="A12" s="10">
        <v>7</v>
      </c>
      <c r="B12" t="s">
        <v>16</v>
      </c>
      <c r="C12" s="2">
        <v>50</v>
      </c>
      <c r="D12" s="19"/>
      <c r="E12" s="8"/>
    </row>
    <row r="13" spans="1:5" x14ac:dyDescent="0.25">
      <c r="A13" s="10">
        <v>8</v>
      </c>
      <c r="B13" t="s">
        <v>15</v>
      </c>
      <c r="C13">
        <f>C8-C12</f>
        <v>5119</v>
      </c>
      <c r="D13" s="19"/>
      <c r="E13" s="8"/>
    </row>
    <row r="14" spans="1:5" x14ac:dyDescent="0.25">
      <c r="A14" s="10">
        <v>9</v>
      </c>
      <c r="B14" t="s">
        <v>14</v>
      </c>
      <c r="C14">
        <f>C12</f>
        <v>50</v>
      </c>
      <c r="E14" s="8"/>
    </row>
    <row r="15" spans="1:5" x14ac:dyDescent="0.25">
      <c r="A15" s="10">
        <v>10</v>
      </c>
      <c r="B15" s="18" t="s">
        <v>13</v>
      </c>
      <c r="C15" s="18">
        <f>MIN(C6,C13)</f>
        <v>4700</v>
      </c>
      <c r="E15" s="8"/>
    </row>
    <row r="16" spans="1:5" x14ac:dyDescent="0.25">
      <c r="A16" s="10">
        <v>11</v>
      </c>
      <c r="B16" t="s">
        <v>12</v>
      </c>
      <c r="C16">
        <f>MAX(0,C6-C13)</f>
        <v>0</v>
      </c>
      <c r="E16" s="8"/>
    </row>
    <row r="17" spans="1:5" ht="15.75" thickBot="1" x14ac:dyDescent="0.3">
      <c r="A17" s="7">
        <v>12</v>
      </c>
      <c r="B17" s="4" t="s">
        <v>11</v>
      </c>
      <c r="C17" s="4">
        <f>IF(C7-C12&lt;=0,0,C7-C12)</f>
        <v>419</v>
      </c>
      <c r="D17" s="4"/>
      <c r="E17" s="3"/>
    </row>
    <row r="18" spans="1:5" x14ac:dyDescent="0.25">
      <c r="A18" s="17"/>
      <c r="B18" s="16" t="s">
        <v>10</v>
      </c>
      <c r="C18" s="16"/>
      <c r="D18" s="16"/>
      <c r="E18" s="15"/>
    </row>
    <row r="19" spans="1:5" ht="15.75" thickBot="1" x14ac:dyDescent="0.3">
      <c r="A19" s="10">
        <v>13</v>
      </c>
      <c r="B19" s="14" t="s">
        <v>9</v>
      </c>
      <c r="C19" s="13">
        <f>C15</f>
        <v>4700</v>
      </c>
      <c r="E19" s="8"/>
    </row>
    <row r="20" spans="1:5" ht="15.75" thickBot="1" x14ac:dyDescent="0.3">
      <c r="A20" s="10">
        <v>14</v>
      </c>
      <c r="B20" t="s">
        <v>8</v>
      </c>
      <c r="C20" s="12">
        <v>4</v>
      </c>
      <c r="E20" s="8"/>
    </row>
    <row r="21" spans="1:5" ht="15.75" thickBot="1" x14ac:dyDescent="0.3">
      <c r="A21" s="10">
        <v>15</v>
      </c>
      <c r="B21" t="s">
        <v>7</v>
      </c>
      <c r="C21">
        <v>0</v>
      </c>
      <c r="E21" s="8"/>
    </row>
    <row r="22" spans="1:5" ht="15.75" thickBot="1" x14ac:dyDescent="0.3">
      <c r="A22" s="10">
        <v>16</v>
      </c>
      <c r="B22" t="s">
        <v>6</v>
      </c>
      <c r="C22" s="12">
        <v>4</v>
      </c>
      <c r="E22" s="8"/>
    </row>
    <row r="23" spans="1:5" x14ac:dyDescent="0.25">
      <c r="A23" s="10">
        <v>17</v>
      </c>
      <c r="B23" t="s">
        <v>5</v>
      </c>
      <c r="C23" s="11">
        <f>C20/C22</f>
        <v>1</v>
      </c>
      <c r="E23" s="8"/>
    </row>
    <row r="24" spans="1:5" ht="15.75" thickBot="1" x14ac:dyDescent="0.3">
      <c r="A24" s="10">
        <v>18</v>
      </c>
      <c r="B24" t="s">
        <v>4</v>
      </c>
      <c r="C24" s="9">
        <f>C23*C19</f>
        <v>4700</v>
      </c>
      <c r="E24" s="8"/>
    </row>
    <row r="25" spans="1:5" ht="15.75" thickBot="1" x14ac:dyDescent="0.3">
      <c r="A25" s="7">
        <v>19</v>
      </c>
      <c r="B25" s="6" t="s">
        <v>3</v>
      </c>
      <c r="C25" s="5">
        <f>ROUNDDOWN(D25,0)</f>
        <v>0</v>
      </c>
      <c r="D25" s="25">
        <f>C6-C24</f>
        <v>0</v>
      </c>
      <c r="E25" s="3"/>
    </row>
    <row r="26" spans="1:5" ht="15.75" thickBot="1" x14ac:dyDescent="0.3"/>
    <row r="27" spans="1:5" ht="15.75" thickBot="1" x14ac:dyDescent="0.3">
      <c r="B27" t="s">
        <v>2</v>
      </c>
      <c r="C27" s="2" t="s">
        <v>29</v>
      </c>
      <c r="D27" t="s">
        <v>0</v>
      </c>
      <c r="E27" s="26">
        <v>46043</v>
      </c>
    </row>
    <row r="29" spans="1:5" x14ac:dyDescent="0.25">
      <c r="B29" t="s">
        <v>1</v>
      </c>
      <c r="C29" s="1"/>
      <c r="D29" t="s">
        <v>0</v>
      </c>
      <c r="E29" s="1"/>
    </row>
  </sheetData>
  <mergeCells count="1">
    <mergeCell ref="D11:E11"/>
  </mergeCells>
  <conditionalFormatting sqref="C11">
    <cfRule type="cellIs" dxfId="0" priority="1" operator="greaterThan">
      <formula>100</formula>
    </cfRule>
  </conditionalFormatting>
  <pageMargins left="0.7" right="0.7" top="0.75" bottom="0.75" header="0.3" footer="0.3"/>
  <pageSetup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A752-64D9-4A09-B3F4-E04651CC8163}">
  <dimension ref="A1:D7"/>
  <sheetViews>
    <sheetView workbookViewId="0">
      <selection activeCell="B3" sqref="B3"/>
    </sheetView>
  </sheetViews>
  <sheetFormatPr defaultRowHeight="15" x14ac:dyDescent="0.25"/>
  <sheetData>
    <row r="1" spans="1:4" x14ac:dyDescent="0.25">
      <c r="A1" t="s">
        <v>25</v>
      </c>
      <c r="D1" t="s">
        <v>26</v>
      </c>
    </row>
    <row r="2" spans="1:4" x14ac:dyDescent="0.25">
      <c r="A2">
        <v>0</v>
      </c>
      <c r="B2" s="24">
        <v>2734</v>
      </c>
      <c r="C2">
        <v>0</v>
      </c>
      <c r="D2" s="24">
        <v>2485</v>
      </c>
    </row>
    <row r="3" spans="1:4" x14ac:dyDescent="0.25">
      <c r="A3">
        <v>1</v>
      </c>
      <c r="B3" s="24">
        <v>3275</v>
      </c>
      <c r="C3">
        <v>1</v>
      </c>
      <c r="D3" s="24">
        <v>2977</v>
      </c>
    </row>
    <row r="4" spans="1:4" x14ac:dyDescent="0.25">
      <c r="A4">
        <v>2</v>
      </c>
      <c r="B4" s="24">
        <v>3964</v>
      </c>
      <c r="C4">
        <v>2</v>
      </c>
      <c r="D4" s="24">
        <v>3604</v>
      </c>
    </row>
    <row r="5" spans="1:4" x14ac:dyDescent="0.25">
      <c r="A5">
        <v>3</v>
      </c>
      <c r="B5" s="24">
        <v>5064</v>
      </c>
      <c r="C5">
        <v>3</v>
      </c>
      <c r="D5" s="24">
        <v>4604</v>
      </c>
    </row>
    <row r="6" spans="1:4" x14ac:dyDescent="0.25">
      <c r="A6">
        <v>4</v>
      </c>
      <c r="B6" s="24">
        <v>5249</v>
      </c>
      <c r="C6">
        <v>4</v>
      </c>
      <c r="D6" s="24">
        <v>4772</v>
      </c>
    </row>
    <row r="7" spans="1:4" x14ac:dyDescent="0.25">
      <c r="A7">
        <v>5</v>
      </c>
      <c r="B7" s="24"/>
      <c r="C7">
        <v>5</v>
      </c>
      <c r="D7" s="24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PSH</vt:lpstr>
      <vt:lpstr>VPS</vt:lpstr>
      <vt:lpstr>PSH!Print_Area</vt:lpstr>
    </vt:vector>
  </TitlesOfParts>
  <Company>County of San Mateo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Dianna Saeliow</dc:creator>
  <cp:lastModifiedBy>Cesar Montano</cp:lastModifiedBy>
  <cp:lastPrinted>2026-01-14T16:16:47Z</cp:lastPrinted>
  <dcterms:created xsi:type="dcterms:W3CDTF">2025-01-27T22:01:53Z</dcterms:created>
  <dcterms:modified xsi:type="dcterms:W3CDTF">2026-01-21T21:13:38Z</dcterms:modified>
</cp:coreProperties>
</file>